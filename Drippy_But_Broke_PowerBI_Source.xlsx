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  <sheet name="Category 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<sst xmlns="http://schemas.openxmlformats.org/spreadsheetml/2006/main" count="234" uniqueCount="33">
  <si>
    <t xml:space="preserve">ID</t>
  </si>
  <si>
    <t xml:space="preserve">Category</t>
  </si>
  <si>
    <t xml:space="preserve">Cost</t>
  </si>
  <si>
    <t xml:space="preserve">Price</t>
  </si>
  <si>
    <t xml:space="preserve">Sold</t>
  </si>
  <si>
    <t xml:space="preserve">Status</t>
  </si>
  <si>
    <t xml:space="preserve">Margin</t>
  </si>
  <si>
    <t xml:space="preserve">T-Shirt</t>
  </si>
  <si>
    <t xml:space="preserve">Unsold</t>
  </si>
  <si>
    <t xml:space="preserve">Shirt</t>
  </si>
  <si>
    <t xml:space="preserve">Drippy But Broke — Sprint Summary</t>
  </si>
  <si>
    <t xml:space="preserve">Metric</t>
  </si>
  <si>
    <t xml:space="preserve">Value</t>
  </si>
  <si>
    <t xml:space="preserve">Total pieces sourced</t>
  </si>
  <si>
    <t xml:space="preserve">Pieces sold</t>
  </si>
  <si>
    <t xml:space="preserve">Pieces unsold</t>
  </si>
  <si>
    <t xml:space="preserve">Sell-through rate</t>
  </si>
  <si>
    <t xml:space="preserve">Total sourcing cost</t>
  </si>
  <si>
    <t xml:space="preserve">Total revenue (sold only)</t>
  </si>
  <si>
    <t xml:space="preserve">Net profit</t>
  </si>
  <si>
    <t xml:space="preserve">Return on cost</t>
  </si>
  <si>
    <t xml:space="preserve">Average selling price (all stock)</t>
  </si>
  <si>
    <t xml:space="preserve">Breakeven units (cost / avg price)</t>
  </si>
  <si>
    <t xml:space="preserve">Unsold stock value (at cost)</t>
  </si>
  <si>
    <t xml:space="preserve">Formulas reference the Sales Data sheet directly — recalculates if you edit costs/prices/sold status there.</t>
  </si>
  <si>
    <t xml:space="preserve">Total</t>
  </si>
  <si>
    <t xml:space="preserve">Units sourced</t>
  </si>
  <si>
    <t xml:space="preserve">Units sold</t>
  </si>
  <si>
    <t xml:space="preserve">Units unsold</t>
  </si>
  <si>
    <t xml:space="preserve">Revenue</t>
  </si>
  <si>
    <t xml:space="preserve">Profit</t>
  </si>
  <si>
    <t xml:space="preserve">Avg selling price</t>
  </si>
  <si>
    <t xml:space="preserve">Breakeven units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</si>
</sst>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\₹#,##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1D1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11D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9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n">
        <v>200</v>
      </c>
      <c r="D2" s="2" t="n">
        <v>360</v>
      </c>
      <c r="E2" s="3" t="b">
        <f aca="false">TRUE()</f>
        <v>1</v>
      </c>
      <c r="F2" s="2" t="s">
        <v>4</v>
      </c>
      <c r="G2" s="2" t="n">
        <f aca="false">D2-C2</f>
        <v>160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n">
        <v>100</v>
      </c>
      <c r="D3" s="2" t="n">
        <v>390</v>
      </c>
      <c r="E3" s="3" t="b">
        <f aca="false">TRUE()</f>
        <v>1</v>
      </c>
      <c r="F3" s="2" t="s">
        <v>4</v>
      </c>
      <c r="G3" s="2" t="n">
        <f aca="false">D3-C3</f>
        <v>290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n">
        <v>130</v>
      </c>
      <c r="D4" s="2" t="n">
        <v>380</v>
      </c>
      <c r="E4" s="3" t="b">
        <f aca="false">TRUE()</f>
        <v>1</v>
      </c>
      <c r="F4" s="2" t="s">
        <v>4</v>
      </c>
      <c r="G4" s="2" t="n">
        <f aca="false">D4-C4</f>
        <v>250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n">
        <v>120</v>
      </c>
      <c r="D5" s="2" t="n">
        <v>360</v>
      </c>
      <c r="E5" s="3" t="b">
        <f aca="false">FALSE()</f>
        <v>0</v>
      </c>
      <c r="F5" s="2" t="s">
        <v>8</v>
      </c>
      <c r="G5" s="2" t="n">
        <f aca="false">D5-C5</f>
        <v>240</v>
      </c>
    </row>
    <row r="6" customFormat="false" ht="15" hidden="false" customHeight="false" outlineLevel="0" collapsed="false">
      <c r="A6" s="2" t="n">
        <v>5</v>
      </c>
      <c r="B6" s="2" t="s">
        <v>7</v>
      </c>
      <c r="C6" s="2" t="n">
        <v>200</v>
      </c>
      <c r="D6" s="2" t="n">
        <v>430</v>
      </c>
      <c r="E6" s="3" t="b">
        <f aca="false">TRUE()</f>
        <v>1</v>
      </c>
      <c r="F6" s="2" t="s">
        <v>4</v>
      </c>
      <c r="G6" s="2" t="n">
        <f aca="false">D6-C6</f>
        <v>230</v>
      </c>
    </row>
    <row r="7" customFormat="false" ht="15" hidden="false" customHeight="false" outlineLevel="0" collapsed="false">
      <c r="A7" s="2" t="n">
        <v>6</v>
      </c>
      <c r="B7" s="2" t="s">
        <v>7</v>
      </c>
      <c r="C7" s="2" t="n">
        <v>110</v>
      </c>
      <c r="D7" s="2" t="n">
        <v>440</v>
      </c>
      <c r="E7" s="3" t="b">
        <f aca="false">FALSE()</f>
        <v>0</v>
      </c>
      <c r="F7" s="2" t="s">
        <v>8</v>
      </c>
      <c r="G7" s="2" t="n">
        <f aca="false">D7-C7</f>
        <v>330</v>
      </c>
    </row>
    <row r="8" customFormat="false" ht="15" hidden="false" customHeight="false" outlineLevel="0" collapsed="false">
      <c r="A8" s="2" t="n">
        <v>7</v>
      </c>
      <c r="B8" s="2" t="s">
        <v>7</v>
      </c>
      <c r="C8" s="2" t="n">
        <v>160</v>
      </c>
      <c r="D8" s="2" t="n">
        <v>350</v>
      </c>
      <c r="E8" s="3" t="b">
        <f aca="false">TRUE()</f>
        <v>1</v>
      </c>
      <c r="F8" s="2" t="s">
        <v>4</v>
      </c>
      <c r="G8" s="2" t="n">
        <f aca="false">D8-C8</f>
        <v>190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n">
        <v>100</v>
      </c>
      <c r="D9" s="2" t="n">
        <v>360</v>
      </c>
      <c r="E9" s="3" t="b">
        <f aca="false">TRUE()</f>
        <v>1</v>
      </c>
      <c r="F9" s="2" t="s">
        <v>4</v>
      </c>
      <c r="G9" s="2" t="n">
        <f aca="false">D9-C9</f>
        <v>260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n">
        <v>130</v>
      </c>
      <c r="D10" s="2" t="n">
        <v>380</v>
      </c>
      <c r="E10" s="3" t="b">
        <f aca="false">FALSE()</f>
        <v>0</v>
      </c>
      <c r="F10" s="2" t="s">
        <v>8</v>
      </c>
      <c r="G10" s="2" t="n">
        <f aca="false">D10-C10</f>
        <v>250</v>
      </c>
    </row>
    <row r="11" customFormat="false" ht="15" hidden="false" customHeight="false" outlineLevel="0" collapsed="false">
      <c r="A11" s="2" t="n">
        <v>10</v>
      </c>
      <c r="B11" s="2" t="s">
        <v>7</v>
      </c>
      <c r="C11" s="2" t="n">
        <v>180</v>
      </c>
      <c r="D11" s="2" t="n">
        <v>440</v>
      </c>
      <c r="E11" s="3" t="b">
        <f aca="false">TRUE()</f>
        <v>1</v>
      </c>
      <c r="F11" s="2" t="s">
        <v>4</v>
      </c>
      <c r="G11" s="2" t="n">
        <f aca="false">D11-C11</f>
        <v>260</v>
      </c>
    </row>
    <row r="12" customFormat="false" ht="15" hidden="false" customHeight="false" outlineLevel="0" collapsed="false">
      <c r="A12" s="2" t="n">
        <v>11</v>
      </c>
      <c r="B12" s="2" t="s">
        <v>7</v>
      </c>
      <c r="C12" s="2" t="n">
        <v>100</v>
      </c>
      <c r="D12" s="2" t="n">
        <v>430</v>
      </c>
      <c r="E12" s="3" t="b">
        <f aca="false">FALSE()</f>
        <v>0</v>
      </c>
      <c r="F12" s="2" t="s">
        <v>8</v>
      </c>
      <c r="G12" s="2" t="n">
        <f aca="false">D12-C12</f>
        <v>330</v>
      </c>
    </row>
    <row r="13" customFormat="false" ht="15" hidden="false" customHeight="false" outlineLevel="0" collapsed="false">
      <c r="A13" s="2" t="n">
        <v>12</v>
      </c>
      <c r="B13" s="2" t="s">
        <v>7</v>
      </c>
      <c r="C13" s="2" t="n">
        <v>130</v>
      </c>
      <c r="D13" s="2" t="n">
        <v>450</v>
      </c>
      <c r="E13" s="3" t="b">
        <f aca="false">TRUE()</f>
        <v>1</v>
      </c>
      <c r="F13" s="2" t="s">
        <v>4</v>
      </c>
      <c r="G13" s="2" t="n">
        <f aca="false">D13-C13</f>
        <v>320</v>
      </c>
    </row>
    <row r="14" customFormat="false" ht="15" hidden="false" customHeight="false" outlineLevel="0" collapsed="false">
      <c r="A14" s="2" t="n">
        <v>13</v>
      </c>
      <c r="B14" s="2" t="s">
        <v>7</v>
      </c>
      <c r="C14" s="2" t="n">
        <v>180</v>
      </c>
      <c r="D14" s="2" t="n">
        <v>410</v>
      </c>
      <c r="E14" s="3" t="b">
        <f aca="false">TRUE()</f>
        <v>1</v>
      </c>
      <c r="F14" s="2" t="s">
        <v>4</v>
      </c>
      <c r="G14" s="2" t="n">
        <f aca="false">D14-C14</f>
        <v>230</v>
      </c>
    </row>
    <row r="15" customFormat="false" ht="15" hidden="false" customHeight="false" outlineLevel="0" collapsed="false">
      <c r="A15" s="2" t="n">
        <v>14</v>
      </c>
      <c r="B15" s="2" t="s">
        <v>7</v>
      </c>
      <c r="C15" s="2" t="n">
        <v>130</v>
      </c>
      <c r="D15" s="2" t="n">
        <v>420</v>
      </c>
      <c r="E15" s="3" t="b">
        <f aca="false">FALSE()</f>
        <v>0</v>
      </c>
      <c r="F15" s="2" t="s">
        <v>8</v>
      </c>
      <c r="G15" s="2" t="n">
        <f aca="false">D15-C15</f>
        <v>290</v>
      </c>
    </row>
    <row r="16" customFormat="false" ht="15" hidden="false" customHeight="false" outlineLevel="0" collapsed="false">
      <c r="A16" s="2" t="n">
        <v>15</v>
      </c>
      <c r="B16" s="2" t="s">
        <v>7</v>
      </c>
      <c r="C16" s="2" t="n">
        <v>190</v>
      </c>
      <c r="D16" s="2" t="n">
        <v>390</v>
      </c>
      <c r="E16" s="3" t="b">
        <f aca="false">TRUE()</f>
        <v>1</v>
      </c>
      <c r="F16" s="2" t="s">
        <v>4</v>
      </c>
      <c r="G16" s="2" t="n">
        <f aca="false">D16-C16</f>
        <v>200</v>
      </c>
    </row>
    <row r="17" customFormat="false" ht="15" hidden="false" customHeight="false" outlineLevel="0" collapsed="false">
      <c r="A17" s="2" t="n">
        <v>16</v>
      </c>
      <c r="B17" s="2" t="s">
        <v>7</v>
      </c>
      <c r="C17" s="2" t="n">
        <v>100</v>
      </c>
      <c r="D17" s="2" t="n">
        <v>370</v>
      </c>
      <c r="E17" s="3" t="b">
        <f aca="false">TRUE()</f>
        <v>1</v>
      </c>
      <c r="F17" s="2" t="s">
        <v>4</v>
      </c>
      <c r="G17" s="2" t="n">
        <f aca="false">D17-C17</f>
        <v>270</v>
      </c>
    </row>
    <row r="18" customFormat="false" ht="15" hidden="false" customHeight="false" outlineLevel="0" collapsed="false">
      <c r="A18" s="2" t="n">
        <v>17</v>
      </c>
      <c r="B18" s="2" t="s">
        <v>7</v>
      </c>
      <c r="C18" s="2" t="n">
        <v>160</v>
      </c>
      <c r="D18" s="2" t="n">
        <v>400</v>
      </c>
      <c r="E18" s="3" t="b">
        <f aca="false">TRUE()</f>
        <v>1</v>
      </c>
      <c r="F18" s="2" t="s">
        <v>4</v>
      </c>
      <c r="G18" s="2" t="n">
        <f aca="false">D18-C18</f>
        <v>240</v>
      </c>
    </row>
    <row r="19" customFormat="false" ht="15" hidden="false" customHeight="false" outlineLevel="0" collapsed="false">
      <c r="A19" s="2" t="n">
        <v>18</v>
      </c>
      <c r="B19" s="2" t="s">
        <v>7</v>
      </c>
      <c r="C19" s="2" t="n">
        <v>140</v>
      </c>
      <c r="D19" s="2" t="n">
        <v>370</v>
      </c>
      <c r="E19" s="3" t="b">
        <f aca="false">TRUE()</f>
        <v>1</v>
      </c>
      <c r="F19" s="2" t="s">
        <v>4</v>
      </c>
      <c r="G19" s="2" t="n">
        <f aca="false">D19-C19</f>
        <v>230</v>
      </c>
    </row>
    <row r="20" customFormat="false" ht="15" hidden="false" customHeight="false" outlineLevel="0" collapsed="false">
      <c r="A20" s="2" t="n">
        <v>19</v>
      </c>
      <c r="B20" s="2" t="s">
        <v>7</v>
      </c>
      <c r="C20" s="2" t="n">
        <v>130</v>
      </c>
      <c r="D20" s="2" t="n">
        <v>400</v>
      </c>
      <c r="E20" s="3" t="b">
        <f aca="false">TRUE()</f>
        <v>1</v>
      </c>
      <c r="F20" s="2" t="s">
        <v>4</v>
      </c>
      <c r="G20" s="2" t="n">
        <f aca="false">D20-C20</f>
        <v>270</v>
      </c>
    </row>
    <row r="21" customFormat="false" ht="15" hidden="false" customHeight="false" outlineLevel="0" collapsed="false">
      <c r="A21" s="2" t="n">
        <v>20</v>
      </c>
      <c r="B21" s="2" t="s">
        <v>7</v>
      </c>
      <c r="C21" s="2" t="n">
        <v>110</v>
      </c>
      <c r="D21" s="2" t="n">
        <v>360</v>
      </c>
      <c r="E21" s="3" t="b">
        <f aca="false">TRUE()</f>
        <v>1</v>
      </c>
      <c r="F21" s="2" t="s">
        <v>4</v>
      </c>
      <c r="G21" s="2" t="n">
        <f aca="false">D21-C21</f>
        <v>250</v>
      </c>
    </row>
    <row r="22" customFormat="false" ht="15" hidden="false" customHeight="false" outlineLevel="0" collapsed="false">
      <c r="A22" s="2" t="n">
        <v>21</v>
      </c>
      <c r="B22" s="2" t="s">
        <v>7</v>
      </c>
      <c r="C22" s="2" t="n">
        <v>160</v>
      </c>
      <c r="D22" s="2" t="n">
        <v>360</v>
      </c>
      <c r="E22" s="3" t="b">
        <f aca="false">TRUE()</f>
        <v>1</v>
      </c>
      <c r="F22" s="2" t="s">
        <v>4</v>
      </c>
      <c r="G22" s="2" t="n">
        <f aca="false">D22-C22</f>
        <v>200</v>
      </c>
    </row>
    <row r="23" customFormat="false" ht="15" hidden="false" customHeight="false" outlineLevel="0" collapsed="false">
      <c r="A23" s="2" t="n">
        <v>22</v>
      </c>
      <c r="B23" s="2" t="s">
        <v>7</v>
      </c>
      <c r="C23" s="2" t="n">
        <v>150</v>
      </c>
      <c r="D23" s="2" t="n">
        <v>400</v>
      </c>
      <c r="E23" s="3" t="b">
        <f aca="false">TRUE()</f>
        <v>1</v>
      </c>
      <c r="F23" s="2" t="s">
        <v>4</v>
      </c>
      <c r="G23" s="2" t="n">
        <f aca="false">D23-C23</f>
        <v>250</v>
      </c>
    </row>
    <row r="24" customFormat="false" ht="15" hidden="false" customHeight="false" outlineLevel="0" collapsed="false">
      <c r="A24" s="2" t="n">
        <v>23</v>
      </c>
      <c r="B24" s="2" t="s">
        <v>7</v>
      </c>
      <c r="C24" s="2" t="n">
        <v>190</v>
      </c>
      <c r="D24" s="2" t="n">
        <v>390</v>
      </c>
      <c r="E24" s="3" t="b">
        <f aca="false">TRUE()</f>
        <v>1</v>
      </c>
      <c r="F24" s="2" t="s">
        <v>4</v>
      </c>
      <c r="G24" s="2" t="n">
        <f aca="false">D24-C24</f>
        <v>200</v>
      </c>
    </row>
    <row r="25" customFormat="false" ht="15" hidden="false" customHeight="false" outlineLevel="0" collapsed="false">
      <c r="A25" s="2" t="n">
        <v>24</v>
      </c>
      <c r="B25" s="2" t="s">
        <v>7</v>
      </c>
      <c r="C25" s="2" t="n">
        <v>100</v>
      </c>
      <c r="D25" s="2" t="n">
        <v>420</v>
      </c>
      <c r="E25" s="3" t="b">
        <f aca="false">TRUE()</f>
        <v>1</v>
      </c>
      <c r="F25" s="2" t="s">
        <v>4</v>
      </c>
      <c r="G25" s="2" t="n">
        <f aca="false">D25-C25</f>
        <v>320</v>
      </c>
    </row>
    <row r="26" customFormat="false" ht="15" hidden="false" customHeight="false" outlineLevel="0" collapsed="false">
      <c r="A26" s="2" t="n">
        <v>25</v>
      </c>
      <c r="B26" s="2" t="s">
        <v>7</v>
      </c>
      <c r="C26" s="2" t="n">
        <v>180</v>
      </c>
      <c r="D26" s="2" t="n">
        <v>360</v>
      </c>
      <c r="E26" s="3" t="b">
        <f aca="false">TRUE()</f>
        <v>1</v>
      </c>
      <c r="F26" s="2" t="s">
        <v>4</v>
      </c>
      <c r="G26" s="2" t="n">
        <f aca="false">D26-C26</f>
        <v>180</v>
      </c>
    </row>
    <row r="27" customFormat="false" ht="15" hidden="false" customHeight="false" outlineLevel="0" collapsed="false">
      <c r="A27" s="2" t="n">
        <v>26</v>
      </c>
      <c r="B27" s="2" t="s">
        <v>7</v>
      </c>
      <c r="C27" s="2" t="n">
        <v>160</v>
      </c>
      <c r="D27" s="2" t="n">
        <v>360</v>
      </c>
      <c r="E27" s="3" t="b">
        <f aca="false">TRUE()</f>
        <v>1</v>
      </c>
      <c r="F27" s="2" t="s">
        <v>4</v>
      </c>
      <c r="G27" s="2" t="n">
        <f aca="false">D27-C27</f>
        <v>200</v>
      </c>
    </row>
    <row r="28" customFormat="false" ht="15" hidden="false" customHeight="false" outlineLevel="0" collapsed="false">
      <c r="A28" s="2" t="n">
        <v>27</v>
      </c>
      <c r="B28" s="2" t="s">
        <v>7</v>
      </c>
      <c r="C28" s="2" t="n">
        <v>180</v>
      </c>
      <c r="D28" s="2" t="n">
        <v>390</v>
      </c>
      <c r="E28" s="3" t="b">
        <f aca="false">TRUE()</f>
        <v>1</v>
      </c>
      <c r="F28" s="2" t="s">
        <v>4</v>
      </c>
      <c r="G28" s="2" t="n">
        <f aca="false">D28-C28</f>
        <v>210</v>
      </c>
    </row>
    <row r="29" customFormat="false" ht="15" hidden="false" customHeight="false" outlineLevel="0" collapsed="false">
      <c r="A29" s="2" t="n">
        <v>28</v>
      </c>
      <c r="B29" s="2" t="s">
        <v>7</v>
      </c>
      <c r="C29" s="2" t="n">
        <v>200</v>
      </c>
      <c r="D29" s="2" t="n">
        <v>440</v>
      </c>
      <c r="E29" s="3" t="b">
        <f aca="false">TRUE()</f>
        <v>1</v>
      </c>
      <c r="F29" s="2" t="s">
        <v>4</v>
      </c>
      <c r="G29" s="2" t="n">
        <f aca="false">D29-C29</f>
        <v>240</v>
      </c>
    </row>
    <row r="30" customFormat="false" ht="15" hidden="false" customHeight="false" outlineLevel="0" collapsed="false">
      <c r="A30" s="2" t="n">
        <v>29</v>
      </c>
      <c r="B30" s="2" t="s">
        <v>7</v>
      </c>
      <c r="C30" s="2" t="n">
        <v>150</v>
      </c>
      <c r="D30" s="2" t="n">
        <v>440</v>
      </c>
      <c r="E30" s="3" t="b">
        <f aca="false">TRUE()</f>
        <v>1</v>
      </c>
      <c r="F30" s="2" t="s">
        <v>4</v>
      </c>
      <c r="G30" s="2" t="n">
        <f aca="false">D30-C30</f>
        <v>290</v>
      </c>
    </row>
    <row r="31" customFormat="false" ht="15" hidden="false" customHeight="false" outlineLevel="0" collapsed="false">
      <c r="A31" s="2" t="n">
        <v>30</v>
      </c>
      <c r="B31" s="2" t="s">
        <v>7</v>
      </c>
      <c r="C31" s="2" t="n">
        <v>130</v>
      </c>
      <c r="D31" s="2" t="n">
        <v>360</v>
      </c>
      <c r="E31" s="3" t="b">
        <f aca="false">FALSE()</f>
        <v>0</v>
      </c>
      <c r="F31" s="2" t="s">
        <v>8</v>
      </c>
      <c r="G31" s="2" t="n">
        <f aca="false">D31-C31</f>
        <v>230</v>
      </c>
    </row>
    <row r="32" customFormat="false" ht="15" hidden="false" customHeight="false" outlineLevel="0" collapsed="false">
      <c r="A32" s="2" t="n">
        <v>31</v>
      </c>
      <c r="B32" s="2" t="s">
        <v>7</v>
      </c>
      <c r="C32" s="2" t="n">
        <v>100</v>
      </c>
      <c r="D32" s="2" t="n">
        <v>450</v>
      </c>
      <c r="E32" s="3" t="b">
        <f aca="false">TRUE()</f>
        <v>1</v>
      </c>
      <c r="F32" s="2" t="s">
        <v>4</v>
      </c>
      <c r="G32" s="2" t="n">
        <f aca="false">D32-C32</f>
        <v>350</v>
      </c>
    </row>
    <row r="33" customFormat="false" ht="15" hidden="false" customHeight="false" outlineLevel="0" collapsed="false">
      <c r="A33" s="2" t="n">
        <v>32</v>
      </c>
      <c r="B33" s="2" t="s">
        <v>7</v>
      </c>
      <c r="C33" s="2" t="n">
        <v>130</v>
      </c>
      <c r="D33" s="2" t="n">
        <v>390</v>
      </c>
      <c r="E33" s="3" t="b">
        <f aca="false">TRUE()</f>
        <v>1</v>
      </c>
      <c r="F33" s="2" t="s">
        <v>4</v>
      </c>
      <c r="G33" s="2" t="n">
        <f aca="false">D33-C33</f>
        <v>260</v>
      </c>
    </row>
    <row r="34" customFormat="false" ht="15" hidden="false" customHeight="false" outlineLevel="0" collapsed="false">
      <c r="A34" s="2" t="n">
        <v>33</v>
      </c>
      <c r="B34" s="2" t="s">
        <v>7</v>
      </c>
      <c r="C34" s="2" t="n">
        <v>110</v>
      </c>
      <c r="D34" s="2" t="n">
        <v>380</v>
      </c>
      <c r="E34" s="3" t="b">
        <f aca="false">TRUE()</f>
        <v>1</v>
      </c>
      <c r="F34" s="2" t="s">
        <v>4</v>
      </c>
      <c r="G34" s="2" t="n">
        <f aca="false">D34-C34</f>
        <v>270</v>
      </c>
    </row>
    <row r="35" customFormat="false" ht="15" hidden="false" customHeight="false" outlineLevel="0" collapsed="false">
      <c r="A35" s="2" t="n">
        <v>34</v>
      </c>
      <c r="B35" s="2" t="s">
        <v>7</v>
      </c>
      <c r="C35" s="2" t="n">
        <v>110</v>
      </c>
      <c r="D35" s="2" t="n">
        <v>410</v>
      </c>
      <c r="E35" s="3" t="b">
        <f aca="false">FALSE()</f>
        <v>0</v>
      </c>
      <c r="F35" s="2" t="s">
        <v>8</v>
      </c>
      <c r="G35" s="2" t="n">
        <f aca="false">D35-C35</f>
        <v>300</v>
      </c>
    </row>
    <row r="36" customFormat="false" ht="15" hidden="false" customHeight="false" outlineLevel="0" collapsed="false">
      <c r="A36" s="2" t="n">
        <v>35</v>
      </c>
      <c r="B36" s="2" t="s">
        <v>7</v>
      </c>
      <c r="C36" s="2" t="n">
        <v>140</v>
      </c>
      <c r="D36" s="2" t="n">
        <v>420</v>
      </c>
      <c r="E36" s="3" t="b">
        <f aca="false">TRUE()</f>
        <v>1</v>
      </c>
      <c r="F36" s="2" t="s">
        <v>4</v>
      </c>
      <c r="G36" s="2" t="n">
        <f aca="false">D36-C36</f>
        <v>280</v>
      </c>
    </row>
    <row r="37" customFormat="false" ht="15" hidden="false" customHeight="false" outlineLevel="0" collapsed="false">
      <c r="A37" s="2" t="n">
        <v>36</v>
      </c>
      <c r="B37" s="2" t="s">
        <v>7</v>
      </c>
      <c r="C37" s="2" t="n">
        <v>200</v>
      </c>
      <c r="D37" s="2" t="n">
        <v>400</v>
      </c>
      <c r="E37" s="3" t="b">
        <f aca="false">TRUE()</f>
        <v>1</v>
      </c>
      <c r="F37" s="2" t="s">
        <v>4</v>
      </c>
      <c r="G37" s="2" t="n">
        <f aca="false">D37-C37</f>
        <v>200</v>
      </c>
    </row>
    <row r="38" customFormat="false" ht="15" hidden="false" customHeight="false" outlineLevel="0" collapsed="false">
      <c r="A38" s="2" t="n">
        <v>37</v>
      </c>
      <c r="B38" s="2" t="s">
        <v>7</v>
      </c>
      <c r="C38" s="2" t="n">
        <v>120</v>
      </c>
      <c r="D38" s="2" t="n">
        <v>400</v>
      </c>
      <c r="E38" s="3" t="b">
        <f aca="false">TRUE()</f>
        <v>1</v>
      </c>
      <c r="F38" s="2" t="s">
        <v>4</v>
      </c>
      <c r="G38" s="2" t="n">
        <f aca="false">D38-C38</f>
        <v>280</v>
      </c>
    </row>
    <row r="39" customFormat="false" ht="15" hidden="false" customHeight="false" outlineLevel="0" collapsed="false">
      <c r="A39" s="2" t="n">
        <v>38</v>
      </c>
      <c r="B39" s="2" t="s">
        <v>7</v>
      </c>
      <c r="C39" s="2" t="n">
        <v>150</v>
      </c>
      <c r="D39" s="2" t="n">
        <v>380</v>
      </c>
      <c r="E39" s="3" t="b">
        <f aca="false">TRUE()</f>
        <v>1</v>
      </c>
      <c r="F39" s="2" t="s">
        <v>4</v>
      </c>
      <c r="G39" s="2" t="n">
        <f aca="false">D39-C39</f>
        <v>230</v>
      </c>
    </row>
    <row r="40" customFormat="false" ht="15" hidden="false" customHeight="false" outlineLevel="0" collapsed="false">
      <c r="A40" s="2" t="n">
        <v>39</v>
      </c>
      <c r="B40" s="2" t="s">
        <v>7</v>
      </c>
      <c r="C40" s="2" t="n">
        <v>200</v>
      </c>
      <c r="D40" s="2" t="n">
        <v>390</v>
      </c>
      <c r="E40" s="3" t="b">
        <f aca="false">TRUE()</f>
        <v>1</v>
      </c>
      <c r="F40" s="2" t="s">
        <v>4</v>
      </c>
      <c r="G40" s="2" t="n">
        <f aca="false">D40-C40</f>
        <v>190</v>
      </c>
    </row>
    <row r="41" customFormat="false" ht="15" hidden="false" customHeight="false" outlineLevel="0" collapsed="false">
      <c r="A41" s="2" t="n">
        <v>40</v>
      </c>
      <c r="B41" s="2" t="s">
        <v>7</v>
      </c>
      <c r="C41" s="2" t="n">
        <v>200</v>
      </c>
      <c r="D41" s="2" t="n">
        <v>450</v>
      </c>
      <c r="E41" s="3" t="b">
        <f aca="false">TRUE()</f>
        <v>1</v>
      </c>
      <c r="F41" s="2" t="s">
        <v>4</v>
      </c>
      <c r="G41" s="2" t="n">
        <f aca="false">D41-C41</f>
        <v>250</v>
      </c>
    </row>
    <row r="42" customFormat="false" ht="15" hidden="false" customHeight="false" outlineLevel="0" collapsed="false">
      <c r="A42" s="2" t="n">
        <v>41</v>
      </c>
      <c r="B42" s="2" t="s">
        <v>7</v>
      </c>
      <c r="C42" s="2" t="n">
        <v>110</v>
      </c>
      <c r="D42" s="2" t="n">
        <v>440</v>
      </c>
      <c r="E42" s="3" t="b">
        <f aca="false">FALSE()</f>
        <v>0</v>
      </c>
      <c r="F42" s="2" t="s">
        <v>8</v>
      </c>
      <c r="G42" s="2" t="n">
        <f aca="false">D42-C42</f>
        <v>330</v>
      </c>
    </row>
    <row r="43" customFormat="false" ht="15" hidden="false" customHeight="false" outlineLevel="0" collapsed="false">
      <c r="A43" s="2" t="n">
        <v>42</v>
      </c>
      <c r="B43" s="2" t="s">
        <v>7</v>
      </c>
      <c r="C43" s="2" t="n">
        <v>200</v>
      </c>
      <c r="D43" s="2" t="n">
        <v>370</v>
      </c>
      <c r="E43" s="3" t="b">
        <f aca="false">FALSE()</f>
        <v>0</v>
      </c>
      <c r="F43" s="2" t="s">
        <v>8</v>
      </c>
      <c r="G43" s="2" t="n">
        <f aca="false">D43-C43</f>
        <v>170</v>
      </c>
    </row>
    <row r="44" customFormat="false" ht="15" hidden="false" customHeight="false" outlineLevel="0" collapsed="false">
      <c r="A44" s="2" t="n">
        <v>43</v>
      </c>
      <c r="B44" s="2" t="s">
        <v>7</v>
      </c>
      <c r="C44" s="2" t="n">
        <v>180</v>
      </c>
      <c r="D44" s="2" t="n">
        <v>380</v>
      </c>
      <c r="E44" s="3" t="b">
        <f aca="false">FALSE()</f>
        <v>0</v>
      </c>
      <c r="F44" s="2" t="s">
        <v>8</v>
      </c>
      <c r="G44" s="2" t="n">
        <f aca="false">D44-C44</f>
        <v>200</v>
      </c>
    </row>
    <row r="45" customFormat="false" ht="15" hidden="false" customHeight="false" outlineLevel="0" collapsed="false">
      <c r="A45" s="2" t="n">
        <v>44</v>
      </c>
      <c r="B45" s="2" t="s">
        <v>7</v>
      </c>
      <c r="C45" s="2" t="n">
        <v>120</v>
      </c>
      <c r="D45" s="2" t="n">
        <v>420</v>
      </c>
      <c r="E45" s="3" t="b">
        <f aca="false">TRUE()</f>
        <v>1</v>
      </c>
      <c r="F45" s="2" t="s">
        <v>4</v>
      </c>
      <c r="G45" s="2" t="n">
        <f aca="false">D45-C45</f>
        <v>300</v>
      </c>
    </row>
    <row r="46" customFormat="false" ht="15" hidden="false" customHeight="false" outlineLevel="0" collapsed="false">
      <c r="A46" s="2" t="n">
        <v>45</v>
      </c>
      <c r="B46" s="2" t="s">
        <v>7</v>
      </c>
      <c r="C46" s="2" t="n">
        <v>160</v>
      </c>
      <c r="D46" s="2" t="n">
        <v>390</v>
      </c>
      <c r="E46" s="3" t="b">
        <f aca="false">TRUE()</f>
        <v>1</v>
      </c>
      <c r="F46" s="2" t="s">
        <v>4</v>
      </c>
      <c r="G46" s="2" t="n">
        <f aca="false">D46-C46</f>
        <v>230</v>
      </c>
    </row>
    <row r="47" customFormat="false" ht="15" hidden="false" customHeight="false" outlineLevel="0" collapsed="false">
      <c r="A47" s="2" t="n">
        <v>46</v>
      </c>
      <c r="B47" s="2" t="s">
        <v>7</v>
      </c>
      <c r="C47" s="2" t="n">
        <v>200</v>
      </c>
      <c r="D47" s="2" t="n">
        <v>430</v>
      </c>
      <c r="E47" s="3" t="b">
        <f aca="false">FALSE()</f>
        <v>0</v>
      </c>
      <c r="F47" s="2" t="s">
        <v>8</v>
      </c>
      <c r="G47" s="2" t="n">
        <f aca="false">D47-C47</f>
        <v>230</v>
      </c>
    </row>
    <row r="48" customFormat="false" ht="15" hidden="false" customHeight="false" outlineLevel="0" collapsed="false">
      <c r="A48" s="2" t="n">
        <v>47</v>
      </c>
      <c r="B48" s="2" t="s">
        <v>7</v>
      </c>
      <c r="C48" s="2" t="n">
        <v>130</v>
      </c>
      <c r="D48" s="2" t="n">
        <v>450</v>
      </c>
      <c r="E48" s="3" t="b">
        <f aca="false">TRUE()</f>
        <v>1</v>
      </c>
      <c r="F48" s="2" t="s">
        <v>4</v>
      </c>
      <c r="G48" s="2" t="n">
        <f aca="false">D48-C48</f>
        <v>320</v>
      </c>
    </row>
    <row r="49" customFormat="false" ht="15" hidden="false" customHeight="false" outlineLevel="0" collapsed="false">
      <c r="A49" s="2" t="n">
        <v>48</v>
      </c>
      <c r="B49" s="2" t="s">
        <v>7</v>
      </c>
      <c r="C49" s="2" t="n">
        <v>150</v>
      </c>
      <c r="D49" s="2" t="n">
        <v>350</v>
      </c>
      <c r="E49" s="3" t="b">
        <f aca="false">TRUE()</f>
        <v>1</v>
      </c>
      <c r="F49" s="2" t="s">
        <v>4</v>
      </c>
      <c r="G49" s="2" t="n">
        <f aca="false">D49-C49</f>
        <v>200</v>
      </c>
    </row>
    <row r="50" customFormat="false" ht="15" hidden="false" customHeight="false" outlineLevel="0" collapsed="false">
      <c r="A50" s="2" t="n">
        <v>49</v>
      </c>
      <c r="B50" s="2" t="s">
        <v>7</v>
      </c>
      <c r="C50" s="2" t="n">
        <v>130</v>
      </c>
      <c r="D50" s="2" t="n">
        <v>350</v>
      </c>
      <c r="E50" s="3" t="b">
        <f aca="false">TRUE()</f>
        <v>1</v>
      </c>
      <c r="F50" s="2" t="s">
        <v>4</v>
      </c>
      <c r="G50" s="2" t="n">
        <f aca="false">D50-C50</f>
        <v>220</v>
      </c>
    </row>
    <row r="51" customFormat="false" ht="15" hidden="false" customHeight="false" outlineLevel="0" collapsed="false">
      <c r="A51" s="2" t="n">
        <v>50</v>
      </c>
      <c r="B51" s="2" t="s">
        <v>7</v>
      </c>
      <c r="C51" s="2" t="n">
        <v>150</v>
      </c>
      <c r="D51" s="2" t="n">
        <v>410</v>
      </c>
      <c r="E51" s="3" t="b">
        <f aca="false">TRUE()</f>
        <v>1</v>
      </c>
      <c r="F51" s="2" t="s">
        <v>4</v>
      </c>
      <c r="G51" s="2" t="n">
        <f aca="false">D51-C51</f>
        <v>260</v>
      </c>
    </row>
    <row r="52" customFormat="false" ht="15" hidden="false" customHeight="false" outlineLevel="0" collapsed="false">
      <c r="A52" s="2" t="n">
        <v>51</v>
      </c>
      <c r="B52" s="2" t="s">
        <v>7</v>
      </c>
      <c r="C52" s="2" t="n">
        <v>140</v>
      </c>
      <c r="D52" s="2" t="n">
        <v>360</v>
      </c>
      <c r="E52" s="3" t="b">
        <f aca="false">TRUE()</f>
        <v>1</v>
      </c>
      <c r="F52" s="2" t="s">
        <v>4</v>
      </c>
      <c r="G52" s="2" t="n">
        <f aca="false">D52-C52</f>
        <v>220</v>
      </c>
    </row>
    <row r="53" customFormat="false" ht="15" hidden="false" customHeight="false" outlineLevel="0" collapsed="false">
      <c r="A53" s="2" t="n">
        <v>52</v>
      </c>
      <c r="B53" s="2" t="s">
        <v>7</v>
      </c>
      <c r="C53" s="2" t="n">
        <v>130</v>
      </c>
      <c r="D53" s="2" t="n">
        <v>440</v>
      </c>
      <c r="E53" s="3" t="b">
        <f aca="false">TRUE()</f>
        <v>1</v>
      </c>
      <c r="F53" s="2" t="s">
        <v>4</v>
      </c>
      <c r="G53" s="2" t="n">
        <f aca="false">D53-C53</f>
        <v>310</v>
      </c>
    </row>
    <row r="54" customFormat="false" ht="15" hidden="false" customHeight="false" outlineLevel="0" collapsed="false">
      <c r="A54" s="2" t="n">
        <v>53</v>
      </c>
      <c r="B54" s="2" t="s">
        <v>7</v>
      </c>
      <c r="C54" s="2" t="n">
        <v>150</v>
      </c>
      <c r="D54" s="2" t="n">
        <v>380</v>
      </c>
      <c r="E54" s="3" t="b">
        <f aca="false">TRUE()</f>
        <v>1</v>
      </c>
      <c r="F54" s="2" t="s">
        <v>4</v>
      </c>
      <c r="G54" s="2" t="n">
        <f aca="false">D54-C54</f>
        <v>230</v>
      </c>
    </row>
    <row r="55" customFormat="false" ht="15" hidden="false" customHeight="false" outlineLevel="0" collapsed="false">
      <c r="A55" s="2" t="n">
        <v>54</v>
      </c>
      <c r="B55" s="2" t="s">
        <v>7</v>
      </c>
      <c r="C55" s="2" t="n">
        <v>200</v>
      </c>
      <c r="D55" s="2" t="n">
        <v>420</v>
      </c>
      <c r="E55" s="3" t="b">
        <f aca="false">TRUE()</f>
        <v>1</v>
      </c>
      <c r="F55" s="2" t="s">
        <v>4</v>
      </c>
      <c r="G55" s="2" t="n">
        <f aca="false">D55-C55</f>
        <v>220</v>
      </c>
    </row>
    <row r="56" customFormat="false" ht="15" hidden="false" customHeight="false" outlineLevel="0" collapsed="false">
      <c r="A56" s="2" t="n">
        <v>55</v>
      </c>
      <c r="B56" s="2" t="s">
        <v>7</v>
      </c>
      <c r="C56" s="2" t="n">
        <v>160</v>
      </c>
      <c r="D56" s="2" t="n">
        <v>450</v>
      </c>
      <c r="E56" s="3" t="b">
        <f aca="false">TRUE()</f>
        <v>1</v>
      </c>
      <c r="F56" s="2" t="s">
        <v>4</v>
      </c>
      <c r="G56" s="2" t="n">
        <f aca="false">D56-C56</f>
        <v>290</v>
      </c>
    </row>
    <row r="57" customFormat="false" ht="15" hidden="false" customHeight="false" outlineLevel="0" collapsed="false">
      <c r="A57" s="2" t="n">
        <v>56</v>
      </c>
      <c r="B57" s="2" t="s">
        <v>7</v>
      </c>
      <c r="C57" s="2" t="n">
        <v>170</v>
      </c>
      <c r="D57" s="2" t="n">
        <v>370</v>
      </c>
      <c r="E57" s="3" t="b">
        <f aca="false">TRUE()</f>
        <v>1</v>
      </c>
      <c r="F57" s="2" t="s">
        <v>4</v>
      </c>
      <c r="G57" s="2" t="n">
        <f aca="false">D57-C57</f>
        <v>200</v>
      </c>
    </row>
    <row r="58" customFormat="false" ht="15" hidden="false" customHeight="false" outlineLevel="0" collapsed="false">
      <c r="A58" s="2" t="n">
        <v>57</v>
      </c>
      <c r="B58" s="2" t="s">
        <v>7</v>
      </c>
      <c r="C58" s="2" t="n">
        <v>140</v>
      </c>
      <c r="D58" s="2" t="n">
        <v>370</v>
      </c>
      <c r="E58" s="3" t="b">
        <f aca="false">TRUE()</f>
        <v>1</v>
      </c>
      <c r="F58" s="2" t="s">
        <v>4</v>
      </c>
      <c r="G58" s="2" t="n">
        <f aca="false">D58-C58</f>
        <v>230</v>
      </c>
    </row>
    <row r="59" customFormat="false" ht="15" hidden="false" customHeight="false" outlineLevel="0" collapsed="false">
      <c r="A59" s="2" t="n">
        <v>58</v>
      </c>
      <c r="B59" s="2" t="s">
        <v>7</v>
      </c>
      <c r="C59" s="2" t="n">
        <v>130</v>
      </c>
      <c r="D59" s="2" t="n">
        <v>430</v>
      </c>
      <c r="E59" s="3" t="b">
        <f aca="false">TRUE()</f>
        <v>1</v>
      </c>
      <c r="F59" s="2" t="s">
        <v>4</v>
      </c>
      <c r="G59" s="2" t="n">
        <f aca="false">D59-C59</f>
        <v>300</v>
      </c>
    </row>
    <row r="60" customFormat="false" ht="15" hidden="false" customHeight="false" outlineLevel="0" collapsed="false">
      <c r="A60" s="2" t="n">
        <v>59</v>
      </c>
      <c r="B60" s="2" t="s">
        <v>7</v>
      </c>
      <c r="C60" s="2" t="n">
        <v>180</v>
      </c>
      <c r="D60" s="2" t="n">
        <v>390</v>
      </c>
      <c r="E60" s="3" t="b">
        <f aca="false">FALSE()</f>
        <v>0</v>
      </c>
      <c r="F60" s="2" t="s">
        <v>8</v>
      </c>
      <c r="G60" s="2" t="n">
        <f aca="false">D60-C60</f>
        <v>210</v>
      </c>
    </row>
    <row r="61" customFormat="false" ht="15" hidden="false" customHeight="false" outlineLevel="0" collapsed="false">
      <c r="A61" s="2" t="n">
        <v>60</v>
      </c>
      <c r="B61" s="2" t="s">
        <v>7</v>
      </c>
      <c r="C61" s="2" t="n">
        <v>190</v>
      </c>
      <c r="D61" s="2" t="n">
        <v>410</v>
      </c>
      <c r="E61" s="3" t="b">
        <f aca="false">TRUE()</f>
        <v>1</v>
      </c>
      <c r="F61" s="2" t="s">
        <v>4</v>
      </c>
      <c r="G61" s="2" t="n">
        <f aca="false">D61-C61</f>
        <v>220</v>
      </c>
    </row>
    <row r="62" customFormat="false" ht="15" hidden="false" customHeight="false" outlineLevel="0" collapsed="false">
      <c r="A62" s="2" t="n">
        <v>61</v>
      </c>
      <c r="B62" s="2" t="s">
        <v>9</v>
      </c>
      <c r="C62" s="2" t="n">
        <v>270</v>
      </c>
      <c r="D62" s="2" t="n">
        <v>560</v>
      </c>
      <c r="E62" s="3" t="b">
        <f aca="false">TRUE()</f>
        <v>1</v>
      </c>
      <c r="F62" s="2" t="s">
        <v>4</v>
      </c>
      <c r="G62" s="2" t="n">
        <f aca="false">D62-C62</f>
        <v>290</v>
      </c>
    </row>
    <row r="63" customFormat="false" ht="15" hidden="false" customHeight="false" outlineLevel="0" collapsed="false">
      <c r="A63" s="2" t="n">
        <v>62</v>
      </c>
      <c r="B63" s="2" t="s">
        <v>9</v>
      </c>
      <c r="C63" s="2" t="n">
        <v>220</v>
      </c>
      <c r="D63" s="2" t="n">
        <v>490</v>
      </c>
      <c r="E63" s="3" t="b">
        <f aca="false">TRUE()</f>
        <v>1</v>
      </c>
      <c r="F63" s="2" t="s">
        <v>4</v>
      </c>
      <c r="G63" s="2" t="n">
        <f aca="false">D63-C63</f>
        <v>270</v>
      </c>
    </row>
    <row r="64" customFormat="false" ht="15" hidden="false" customHeight="false" outlineLevel="0" collapsed="false">
      <c r="A64" s="2" t="n">
        <v>63</v>
      </c>
      <c r="B64" s="2" t="s">
        <v>9</v>
      </c>
      <c r="C64" s="2" t="n">
        <v>300</v>
      </c>
      <c r="D64" s="2" t="n">
        <v>470</v>
      </c>
      <c r="E64" s="3" t="b">
        <f aca="false">TRUE()</f>
        <v>1</v>
      </c>
      <c r="F64" s="2" t="s">
        <v>4</v>
      </c>
      <c r="G64" s="2" t="n">
        <f aca="false">D64-C64</f>
        <v>170</v>
      </c>
    </row>
    <row r="65" customFormat="false" ht="15" hidden="false" customHeight="false" outlineLevel="0" collapsed="false">
      <c r="A65" s="2" t="n">
        <v>64</v>
      </c>
      <c r="B65" s="2" t="s">
        <v>9</v>
      </c>
      <c r="C65" s="2" t="n">
        <v>160</v>
      </c>
      <c r="D65" s="2" t="n">
        <v>480</v>
      </c>
      <c r="E65" s="3" t="b">
        <f aca="false">TRUE()</f>
        <v>1</v>
      </c>
      <c r="F65" s="2" t="s">
        <v>4</v>
      </c>
      <c r="G65" s="2" t="n">
        <f aca="false">D65-C65</f>
        <v>320</v>
      </c>
    </row>
    <row r="66" customFormat="false" ht="15" hidden="false" customHeight="false" outlineLevel="0" collapsed="false">
      <c r="A66" s="2" t="n">
        <v>65</v>
      </c>
      <c r="B66" s="2" t="s">
        <v>9</v>
      </c>
      <c r="C66" s="2" t="n">
        <v>190</v>
      </c>
      <c r="D66" s="2" t="n">
        <v>650</v>
      </c>
      <c r="E66" s="3" t="b">
        <f aca="false">TRUE()</f>
        <v>1</v>
      </c>
      <c r="F66" s="2" t="s">
        <v>4</v>
      </c>
      <c r="G66" s="2" t="n">
        <f aca="false">D66-C66</f>
        <v>460</v>
      </c>
    </row>
    <row r="67" customFormat="false" ht="15" hidden="false" customHeight="false" outlineLevel="0" collapsed="false">
      <c r="A67" s="2" t="n">
        <v>66</v>
      </c>
      <c r="B67" s="2" t="s">
        <v>9</v>
      </c>
      <c r="C67" s="2" t="n">
        <v>200</v>
      </c>
      <c r="D67" s="2" t="n">
        <v>700</v>
      </c>
      <c r="E67" s="3" t="b">
        <f aca="false">FALSE()</f>
        <v>0</v>
      </c>
      <c r="F67" s="2" t="s">
        <v>8</v>
      </c>
      <c r="G67" s="2" t="n">
        <f aca="false">D67-C67</f>
        <v>500</v>
      </c>
    </row>
    <row r="68" customFormat="false" ht="15" hidden="false" customHeight="false" outlineLevel="0" collapsed="false">
      <c r="A68" s="2" t="n">
        <v>67</v>
      </c>
      <c r="B68" s="2" t="s">
        <v>9</v>
      </c>
      <c r="C68" s="2" t="n">
        <v>280</v>
      </c>
      <c r="D68" s="2" t="n">
        <v>640</v>
      </c>
      <c r="E68" s="3" t="b">
        <f aca="false">TRUE()</f>
        <v>1</v>
      </c>
      <c r="F68" s="2" t="s">
        <v>4</v>
      </c>
      <c r="G68" s="2" t="n">
        <f aca="false">D68-C68</f>
        <v>360</v>
      </c>
    </row>
    <row r="69" customFormat="false" ht="15" hidden="false" customHeight="false" outlineLevel="0" collapsed="false">
      <c r="A69" s="2" t="n">
        <v>68</v>
      </c>
      <c r="B69" s="2" t="s">
        <v>9</v>
      </c>
      <c r="C69" s="2" t="n">
        <v>170</v>
      </c>
      <c r="D69" s="2" t="n">
        <v>570</v>
      </c>
      <c r="E69" s="3" t="b">
        <f aca="false">TRUE()</f>
        <v>1</v>
      </c>
      <c r="F69" s="2" t="s">
        <v>4</v>
      </c>
      <c r="G69" s="2" t="n">
        <f aca="false">D69-C69</f>
        <v>400</v>
      </c>
    </row>
    <row r="70" customFormat="false" ht="15" hidden="false" customHeight="false" outlineLevel="0" collapsed="false">
      <c r="A70" s="2" t="n">
        <v>69</v>
      </c>
      <c r="B70" s="2" t="s">
        <v>9</v>
      </c>
      <c r="C70" s="2" t="n">
        <v>270</v>
      </c>
      <c r="D70" s="2" t="n">
        <v>640</v>
      </c>
      <c r="E70" s="3" t="b">
        <f aca="false">FALSE()</f>
        <v>0</v>
      </c>
      <c r="F70" s="2" t="s">
        <v>8</v>
      </c>
      <c r="G70" s="2" t="n">
        <f aca="false">D70-C70</f>
        <v>370</v>
      </c>
    </row>
    <row r="71" customFormat="false" ht="15" hidden="false" customHeight="false" outlineLevel="0" collapsed="false">
      <c r="A71" s="2" t="n">
        <v>70</v>
      </c>
      <c r="B71" s="2" t="s">
        <v>9</v>
      </c>
      <c r="C71" s="2" t="n">
        <v>290</v>
      </c>
      <c r="D71" s="2" t="n">
        <v>610</v>
      </c>
      <c r="E71" s="3" t="b">
        <f aca="false">TRUE()</f>
        <v>1</v>
      </c>
      <c r="F71" s="2" t="s">
        <v>4</v>
      </c>
      <c r="G71" s="2" t="n">
        <f aca="false">D71-C71</f>
        <v>320</v>
      </c>
    </row>
    <row r="72" customFormat="false" ht="15" hidden="false" customHeight="false" outlineLevel="0" collapsed="false">
      <c r="A72" s="2" t="n">
        <v>71</v>
      </c>
      <c r="B72" s="2" t="s">
        <v>9</v>
      </c>
      <c r="C72" s="2" t="n">
        <v>230</v>
      </c>
      <c r="D72" s="2" t="n">
        <v>620</v>
      </c>
      <c r="E72" s="3" t="b">
        <f aca="false">FALSE()</f>
        <v>0</v>
      </c>
      <c r="F72" s="2" t="s">
        <v>8</v>
      </c>
      <c r="G72" s="2" t="n">
        <f aca="false">D72-C72</f>
        <v>390</v>
      </c>
    </row>
    <row r="73" customFormat="false" ht="15" hidden="false" customHeight="false" outlineLevel="0" collapsed="false">
      <c r="A73" s="2" t="n">
        <v>72</v>
      </c>
      <c r="B73" s="2" t="s">
        <v>9</v>
      </c>
      <c r="C73" s="2" t="n">
        <v>150</v>
      </c>
      <c r="D73" s="2" t="n">
        <v>660</v>
      </c>
      <c r="E73" s="3" t="b">
        <f aca="false">FALSE()</f>
        <v>0</v>
      </c>
      <c r="F73" s="2" t="s">
        <v>8</v>
      </c>
      <c r="G73" s="2" t="n">
        <f aca="false">D73-C73</f>
        <v>510</v>
      </c>
    </row>
    <row r="74" customFormat="false" ht="15" hidden="false" customHeight="false" outlineLevel="0" collapsed="false">
      <c r="A74" s="2" t="n">
        <v>73</v>
      </c>
      <c r="B74" s="2" t="s">
        <v>9</v>
      </c>
      <c r="C74" s="2" t="n">
        <v>180</v>
      </c>
      <c r="D74" s="2" t="n">
        <v>660</v>
      </c>
      <c r="E74" s="3" t="b">
        <f aca="false">TRUE()</f>
        <v>1</v>
      </c>
      <c r="F74" s="2" t="s">
        <v>4</v>
      </c>
      <c r="G74" s="2" t="n">
        <f aca="false">D74-C74</f>
        <v>480</v>
      </c>
    </row>
    <row r="75" customFormat="false" ht="15" hidden="false" customHeight="false" outlineLevel="0" collapsed="false">
      <c r="A75" s="2" t="n">
        <v>74</v>
      </c>
      <c r="B75" s="2" t="s">
        <v>9</v>
      </c>
      <c r="C75" s="2" t="n">
        <v>230</v>
      </c>
      <c r="D75" s="2" t="n">
        <v>690</v>
      </c>
      <c r="E75" s="3" t="b">
        <f aca="false">TRUE()</f>
        <v>1</v>
      </c>
      <c r="F75" s="2" t="s">
        <v>4</v>
      </c>
      <c r="G75" s="2" t="n">
        <f aca="false">D75-C75</f>
        <v>460</v>
      </c>
    </row>
    <row r="76" customFormat="false" ht="15" hidden="false" customHeight="false" outlineLevel="0" collapsed="false">
      <c r="A76" s="2" t="n">
        <v>75</v>
      </c>
      <c r="B76" s="2" t="s">
        <v>9</v>
      </c>
      <c r="C76" s="2" t="n">
        <v>250</v>
      </c>
      <c r="D76" s="2" t="n">
        <v>480</v>
      </c>
      <c r="E76" s="3" t="b">
        <f aca="false">TRUE()</f>
        <v>1</v>
      </c>
      <c r="F76" s="2" t="s">
        <v>4</v>
      </c>
      <c r="G76" s="2" t="n">
        <f aca="false">D76-C76</f>
        <v>230</v>
      </c>
    </row>
    <row r="77" customFormat="false" ht="15" hidden="false" customHeight="false" outlineLevel="0" collapsed="false">
      <c r="A77" s="2" t="n">
        <v>76</v>
      </c>
      <c r="B77" s="2" t="s">
        <v>9</v>
      </c>
      <c r="C77" s="2" t="n">
        <v>240</v>
      </c>
      <c r="D77" s="2" t="n">
        <v>580</v>
      </c>
      <c r="E77" s="3" t="b">
        <f aca="false">TRUE()</f>
        <v>1</v>
      </c>
      <c r="F77" s="2" t="s">
        <v>4</v>
      </c>
      <c r="G77" s="2" t="n">
        <f aca="false">D77-C77</f>
        <v>340</v>
      </c>
    </row>
    <row r="78" customFormat="false" ht="15" hidden="false" customHeight="false" outlineLevel="0" collapsed="false">
      <c r="A78" s="2" t="n">
        <v>77</v>
      </c>
      <c r="B78" s="2" t="s">
        <v>9</v>
      </c>
      <c r="C78" s="2" t="n">
        <v>200</v>
      </c>
      <c r="D78" s="2" t="n">
        <v>590</v>
      </c>
      <c r="E78" s="3" t="b">
        <f aca="false">TRUE()</f>
        <v>1</v>
      </c>
      <c r="F78" s="2" t="s">
        <v>4</v>
      </c>
      <c r="G78" s="2" t="n">
        <f aca="false">D78-C78</f>
        <v>390</v>
      </c>
    </row>
    <row r="79" customFormat="false" ht="15" hidden="false" customHeight="false" outlineLevel="0" collapsed="false">
      <c r="A79" s="2" t="n">
        <v>78</v>
      </c>
      <c r="B79" s="2" t="s">
        <v>9</v>
      </c>
      <c r="C79" s="2" t="n">
        <v>150</v>
      </c>
      <c r="D79" s="2" t="n">
        <v>680</v>
      </c>
      <c r="E79" s="3" t="b">
        <f aca="false">TRUE()</f>
        <v>1</v>
      </c>
      <c r="F79" s="2" t="s">
        <v>4</v>
      </c>
      <c r="G79" s="2" t="n">
        <f aca="false">D79-C79</f>
        <v>530</v>
      </c>
    </row>
    <row r="80" customFormat="false" ht="15" hidden="false" customHeight="false" outlineLevel="0" collapsed="false">
      <c r="A80" s="2" t="n">
        <v>79</v>
      </c>
      <c r="B80" s="2" t="s">
        <v>9</v>
      </c>
      <c r="C80" s="2" t="n">
        <v>230</v>
      </c>
      <c r="D80" s="2" t="n">
        <v>610</v>
      </c>
      <c r="E80" s="3" t="b">
        <f aca="false">TRUE()</f>
        <v>1</v>
      </c>
      <c r="F80" s="2" t="s">
        <v>4</v>
      </c>
      <c r="G80" s="2" t="n">
        <f aca="false">D80-C80</f>
        <v>380</v>
      </c>
    </row>
    <row r="81" customFormat="false" ht="15" hidden="false" customHeight="false" outlineLevel="0" collapsed="false">
      <c r="A81" s="2" t="n">
        <v>80</v>
      </c>
      <c r="B81" s="2" t="s">
        <v>9</v>
      </c>
      <c r="C81" s="2" t="n">
        <v>200</v>
      </c>
      <c r="D81" s="2" t="n">
        <v>610</v>
      </c>
      <c r="E81" s="3" t="b">
        <f aca="false">TRUE()</f>
        <v>1</v>
      </c>
      <c r="F81" s="2" t="s">
        <v>4</v>
      </c>
      <c r="G81" s="2" t="n">
        <f aca="false">D81-C81</f>
        <v>410</v>
      </c>
    </row>
    <row r="82" customFormat="false" ht="15" hidden="false" customHeight="false" outlineLevel="0" collapsed="false">
      <c r="A82" s="2" t="n">
        <v>81</v>
      </c>
      <c r="B82" s="2" t="s">
        <v>9</v>
      </c>
      <c r="C82" s="2" t="n">
        <v>180</v>
      </c>
      <c r="D82" s="2" t="n">
        <v>650</v>
      </c>
      <c r="E82" s="3" t="b">
        <f aca="false">TRUE()</f>
        <v>1</v>
      </c>
      <c r="F82" s="2" t="s">
        <v>4</v>
      </c>
      <c r="G82" s="2" t="n">
        <f aca="false">D82-C82</f>
        <v>470</v>
      </c>
    </row>
    <row r="83" customFormat="false" ht="15" hidden="false" customHeight="false" outlineLevel="0" collapsed="false">
      <c r="A83" s="2" t="n">
        <v>82</v>
      </c>
      <c r="B83" s="2" t="s">
        <v>9</v>
      </c>
      <c r="C83" s="2" t="n">
        <v>240</v>
      </c>
      <c r="D83" s="2" t="n">
        <v>650</v>
      </c>
      <c r="E83" s="3" t="b">
        <f aca="false">TRUE()</f>
        <v>1</v>
      </c>
      <c r="F83" s="2" t="s">
        <v>4</v>
      </c>
      <c r="G83" s="2" t="n">
        <f aca="false">D83-C83</f>
        <v>410</v>
      </c>
    </row>
    <row r="84" customFormat="false" ht="15" hidden="false" customHeight="false" outlineLevel="0" collapsed="false">
      <c r="A84" s="2" t="n">
        <v>83</v>
      </c>
      <c r="B84" s="2" t="s">
        <v>9</v>
      </c>
      <c r="C84" s="2" t="n">
        <v>210</v>
      </c>
      <c r="D84" s="2" t="n">
        <v>490</v>
      </c>
      <c r="E84" s="3" t="b">
        <f aca="false">TRUE()</f>
        <v>1</v>
      </c>
      <c r="F84" s="2" t="s">
        <v>4</v>
      </c>
      <c r="G84" s="2" t="n">
        <f aca="false">D84-C84</f>
        <v>280</v>
      </c>
    </row>
    <row r="85" customFormat="false" ht="15" hidden="false" customHeight="false" outlineLevel="0" collapsed="false">
      <c r="A85" s="2" t="n">
        <v>84</v>
      </c>
      <c r="B85" s="2" t="s">
        <v>9</v>
      </c>
      <c r="C85" s="2" t="n">
        <v>260</v>
      </c>
      <c r="D85" s="2" t="n">
        <v>690</v>
      </c>
      <c r="E85" s="3" t="b">
        <f aca="false">TRUE()</f>
        <v>1</v>
      </c>
      <c r="F85" s="2" t="s">
        <v>4</v>
      </c>
      <c r="G85" s="2" t="n">
        <f aca="false">D85-C85</f>
        <v>430</v>
      </c>
    </row>
    <row r="86" customFormat="false" ht="15" hidden="false" customHeight="false" outlineLevel="0" collapsed="false">
      <c r="A86" s="2" t="n">
        <v>85</v>
      </c>
      <c r="B86" s="2" t="s">
        <v>9</v>
      </c>
      <c r="C86" s="2" t="n">
        <v>200</v>
      </c>
      <c r="D86" s="2" t="n">
        <v>620</v>
      </c>
      <c r="E86" s="3" t="b">
        <f aca="false">TRUE()</f>
        <v>1</v>
      </c>
      <c r="F86" s="2" t="s">
        <v>4</v>
      </c>
      <c r="G86" s="2" t="n">
        <f aca="false">D86-C86</f>
        <v>420</v>
      </c>
    </row>
    <row r="87" customFormat="false" ht="15" hidden="false" customHeight="false" outlineLevel="0" collapsed="false">
      <c r="A87" s="2" t="n">
        <v>86</v>
      </c>
      <c r="B87" s="2" t="s">
        <v>9</v>
      </c>
      <c r="C87" s="2" t="n">
        <v>150</v>
      </c>
      <c r="D87" s="2" t="n">
        <v>640</v>
      </c>
      <c r="E87" s="3" t="b">
        <f aca="false">TRUE()</f>
        <v>1</v>
      </c>
      <c r="F87" s="2" t="s">
        <v>4</v>
      </c>
      <c r="G87" s="2" t="n">
        <f aca="false">D87-C87</f>
        <v>490</v>
      </c>
    </row>
    <row r="88" customFormat="false" ht="15" hidden="false" customHeight="false" outlineLevel="0" collapsed="false">
      <c r="A88" s="2" t="n">
        <v>87</v>
      </c>
      <c r="B88" s="2" t="s">
        <v>9</v>
      </c>
      <c r="C88" s="2" t="n">
        <v>250</v>
      </c>
      <c r="D88" s="2" t="n">
        <v>600</v>
      </c>
      <c r="E88" s="3" t="b">
        <f aca="false">TRUE()</f>
        <v>1</v>
      </c>
      <c r="F88" s="2" t="s">
        <v>4</v>
      </c>
      <c r="G88" s="2" t="n">
        <f aca="false">D88-C88</f>
        <v>350</v>
      </c>
    </row>
    <row r="89" customFormat="false" ht="15" hidden="false" customHeight="false" outlineLevel="0" collapsed="false">
      <c r="A89" s="2" t="n">
        <v>88</v>
      </c>
      <c r="B89" s="2" t="s">
        <v>9</v>
      </c>
      <c r="C89" s="2" t="n">
        <v>150</v>
      </c>
      <c r="D89" s="2" t="n">
        <v>480</v>
      </c>
      <c r="E89" s="3" t="b">
        <f aca="false">FALSE()</f>
        <v>0</v>
      </c>
      <c r="F89" s="2" t="s">
        <v>8</v>
      </c>
      <c r="G89" s="2" t="n">
        <f aca="false">D89-C89</f>
        <v>330</v>
      </c>
    </row>
    <row r="90" customFormat="false" ht="15" hidden="false" customHeight="false" outlineLevel="0" collapsed="false">
      <c r="A90" s="2" t="n">
        <v>89</v>
      </c>
      <c r="B90" s="2" t="s">
        <v>9</v>
      </c>
      <c r="C90" s="2" t="n">
        <v>260</v>
      </c>
      <c r="D90" s="2" t="n">
        <v>700</v>
      </c>
      <c r="E90" s="3" t="b">
        <f aca="false">FALSE()</f>
        <v>0</v>
      </c>
      <c r="F90" s="2" t="s">
        <v>8</v>
      </c>
      <c r="G90" s="2" t="n">
        <f aca="false">D90-C90</f>
        <v>440</v>
      </c>
    </row>
    <row r="91" customFormat="false" ht="15" hidden="false" customHeight="false" outlineLevel="0" collapsed="false">
      <c r="A91" s="2" t="n">
        <v>90</v>
      </c>
      <c r="B91" s="2" t="s">
        <v>9</v>
      </c>
      <c r="C91" s="2" t="n">
        <v>240</v>
      </c>
      <c r="D91" s="2" t="n">
        <v>520</v>
      </c>
      <c r="E91" s="3" t="b">
        <f aca="false">TRUE()</f>
        <v>1</v>
      </c>
      <c r="F91" s="2" t="s">
        <v>4</v>
      </c>
      <c r="G91" s="2" t="n">
        <f aca="false">D91-C91</f>
        <v>280</v>
      </c>
    </row>
    <row r="92" customFormat="false" ht="15" hidden="false" customHeight="false" outlineLevel="0" collapsed="false">
      <c r="A92" s="2" t="n">
        <v>91</v>
      </c>
      <c r="B92" s="2" t="s">
        <v>9</v>
      </c>
      <c r="C92" s="2" t="n">
        <v>160</v>
      </c>
      <c r="D92" s="2" t="n">
        <v>520</v>
      </c>
      <c r="E92" s="3" t="b">
        <f aca="false">TRUE()</f>
        <v>1</v>
      </c>
      <c r="F92" s="2" t="s">
        <v>4</v>
      </c>
      <c r="G92" s="2" t="n">
        <f aca="false">D92-C92</f>
        <v>360</v>
      </c>
    </row>
    <row r="93" customFormat="false" ht="15" hidden="false" customHeight="false" outlineLevel="0" collapsed="false">
      <c r="A93" s="2" t="n">
        <v>92</v>
      </c>
      <c r="B93" s="2" t="s">
        <v>9</v>
      </c>
      <c r="C93" s="2" t="n">
        <v>170</v>
      </c>
      <c r="D93" s="2" t="n">
        <v>470</v>
      </c>
      <c r="E93" s="3" t="b">
        <f aca="false">TRUE()</f>
        <v>1</v>
      </c>
      <c r="F93" s="2" t="s">
        <v>4</v>
      </c>
      <c r="G93" s="2" t="n">
        <f aca="false">D93-C93</f>
        <v>300</v>
      </c>
    </row>
    <row r="94" customFormat="false" ht="15" hidden="false" customHeight="false" outlineLevel="0" collapsed="false">
      <c r="A94" s="2" t="n">
        <v>93</v>
      </c>
      <c r="B94" s="2" t="s">
        <v>9</v>
      </c>
      <c r="C94" s="2" t="n">
        <v>300</v>
      </c>
      <c r="D94" s="2" t="n">
        <v>470</v>
      </c>
      <c r="E94" s="3" t="b">
        <f aca="false">TRUE()</f>
        <v>1</v>
      </c>
      <c r="F94" s="2" t="s">
        <v>4</v>
      </c>
      <c r="G94" s="2" t="n">
        <f aca="false">D94-C94</f>
        <v>170</v>
      </c>
    </row>
    <row r="95" customFormat="false" ht="15" hidden="false" customHeight="false" outlineLevel="0" collapsed="false">
      <c r="A95" s="2" t="n">
        <v>94</v>
      </c>
      <c r="B95" s="2" t="s">
        <v>9</v>
      </c>
      <c r="C95" s="2" t="n">
        <v>190</v>
      </c>
      <c r="D95" s="2" t="n">
        <v>490</v>
      </c>
      <c r="E95" s="3" t="b">
        <f aca="false">TRUE()</f>
        <v>1</v>
      </c>
      <c r="F95" s="2" t="s">
        <v>4</v>
      </c>
      <c r="G95" s="2" t="n">
        <f aca="false">D95-C95</f>
        <v>300</v>
      </c>
    </row>
    <row r="96" customFormat="false" ht="15" hidden="false" customHeight="false" outlineLevel="0" collapsed="false">
      <c r="A96" s="2" t="n">
        <v>95</v>
      </c>
      <c r="B96" s="2" t="s">
        <v>9</v>
      </c>
      <c r="C96" s="2" t="n">
        <v>300</v>
      </c>
      <c r="D96" s="2" t="n">
        <v>620</v>
      </c>
      <c r="E96" s="3" t="b">
        <f aca="false">TRUE()</f>
        <v>1</v>
      </c>
      <c r="F96" s="2" t="s">
        <v>4</v>
      </c>
      <c r="G96" s="2" t="n">
        <f aca="false">D96-C96</f>
        <v>320</v>
      </c>
    </row>
    <row r="97" customFormat="false" ht="15" hidden="false" customHeight="false" outlineLevel="0" collapsed="false">
      <c r="A97" s="2" t="n">
        <v>96</v>
      </c>
      <c r="B97" s="2" t="s">
        <v>9</v>
      </c>
      <c r="C97" s="2" t="n">
        <v>200</v>
      </c>
      <c r="D97" s="2" t="n">
        <v>530</v>
      </c>
      <c r="E97" s="3" t="b">
        <f aca="false">TRUE()</f>
        <v>1</v>
      </c>
      <c r="F97" s="2" t="s">
        <v>4</v>
      </c>
      <c r="G97" s="2" t="n">
        <f aca="false">D97-C97</f>
        <v>330</v>
      </c>
    </row>
    <row r="98" customFormat="false" ht="15" hidden="false" customHeight="false" outlineLevel="0" collapsed="false">
      <c r="A98" s="2" t="n">
        <v>97</v>
      </c>
      <c r="B98" s="2" t="s">
        <v>9</v>
      </c>
      <c r="C98" s="2" t="n">
        <v>280</v>
      </c>
      <c r="D98" s="2" t="n">
        <v>510</v>
      </c>
      <c r="E98" s="3" t="b">
        <f aca="false">FALSE()</f>
        <v>0</v>
      </c>
      <c r="F98" s="2" t="s">
        <v>8</v>
      </c>
      <c r="G98" s="2" t="n">
        <f aca="false">D98-C98</f>
        <v>230</v>
      </c>
    </row>
    <row r="99" customFormat="false" ht="15" hidden="false" customHeight="false" outlineLevel="0" collapsed="false">
      <c r="A99" s="2" t="n">
        <v>98</v>
      </c>
      <c r="B99" s="2" t="s">
        <v>9</v>
      </c>
      <c r="C99" s="2" t="n">
        <v>210</v>
      </c>
      <c r="D99" s="2" t="n">
        <v>670</v>
      </c>
      <c r="E99" s="3" t="b">
        <f aca="false">FALSE()</f>
        <v>0</v>
      </c>
      <c r="F99" s="2" t="s">
        <v>8</v>
      </c>
      <c r="G99" s="2" t="n">
        <f aca="false">D99-C99</f>
        <v>460</v>
      </c>
    </row>
    <row r="100" customFormat="false" ht="15" hidden="false" customHeight="false" outlineLevel="0" collapsed="false">
      <c r="A100" s="2" t="n">
        <v>99</v>
      </c>
      <c r="B100" s="2" t="s">
        <v>9</v>
      </c>
      <c r="C100" s="2" t="n">
        <v>240</v>
      </c>
      <c r="D100" s="2" t="n">
        <v>570</v>
      </c>
      <c r="E100" s="3" t="b">
        <f aca="false">TRUE()</f>
        <v>1</v>
      </c>
      <c r="F100" s="2" t="s">
        <v>4</v>
      </c>
      <c r="G100" s="2" t="n">
        <f aca="false">D100-C100</f>
        <v>330</v>
      </c>
    </row>
    <row r="101" customFormat="false" ht="15" hidden="false" customHeight="false" outlineLevel="0" collapsed="false">
      <c r="A101" s="2" t="n">
        <v>100</v>
      </c>
      <c r="B101" s="2" t="s">
        <v>9</v>
      </c>
      <c r="C101" s="2" t="n">
        <v>260</v>
      </c>
      <c r="D101" s="2" t="n">
        <v>590</v>
      </c>
      <c r="E101" s="3" t="b">
        <f aca="false">TRUE()</f>
        <v>1</v>
      </c>
      <c r="F101" s="2" t="s">
        <v>4</v>
      </c>
      <c r="G101" s="2" t="n">
        <f aca="false">D101-C101</f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4" t="s">
        <v>10</v>
      </c>
      <c r="B1" s="4"/>
      <c r="C1" s="4"/>
    </row>
    <row r="3" customFormat="false" ht="15" hidden="false" customHeight="false" outlineLevel="0" collapsed="false">
      <c r="A3" s="5" t="s">
        <v>11</v>
      </c>
      <c r="B3" s="5" t="s">
        <v>12</v>
      </c>
    </row>
    <row r="4" customFormat="false" ht="15" hidden="false" customHeight="false" outlineLevel="0" collapsed="false">
      <c r="A4" s="2" t="s">
        <v>13</v>
      </c>
      <c r="B4" s="2" t="n">
        <f aca="false">COUNTA('Sales Data'!A2:A101)</f>
        <v>100</v>
      </c>
    </row>
    <row r="5" customFormat="false" ht="15" hidden="false" customHeight="false" outlineLevel="0" collapsed="false">
      <c r="A5" s="2" t="s">
        <v>14</v>
      </c>
      <c r="B5" s="2" t="n">
        <f aca="false">COUNTIF('Sales Data'!F2:F101,"Sold")</f>
        <v>80</v>
      </c>
    </row>
    <row r="6" customFormat="false" ht="15" hidden="false" customHeight="false" outlineLevel="0" collapsed="false">
      <c r="A6" s="2" t="s">
        <v>15</v>
      </c>
      <c r="B6" s="2" t="n">
        <f aca="false">COUNTIF('Sales Data'!F2:F101,"Unsold")</f>
        <v>20</v>
      </c>
    </row>
    <row r="7" customFormat="false" ht="15" hidden="false" customHeight="false" outlineLevel="0" collapsed="false">
      <c r="A7" s="2" t="s">
        <v>16</v>
      </c>
      <c r="B7" s="6" t="n">
        <f aca="false">B5/B4</f>
        <v>0.8</v>
      </c>
    </row>
    <row r="8" customFormat="false" ht="15" hidden="false" customHeight="false" outlineLevel="0" collapsed="false">
      <c r="A8" s="2" t="s">
        <v>17</v>
      </c>
      <c r="B8" s="7" t="n">
        <f aca="false">SUM('Sales Data'!C2:C101)</f>
        <v>17840</v>
      </c>
    </row>
    <row r="9" customFormat="false" ht="15" hidden="false" customHeight="false" outlineLevel="0" collapsed="false">
      <c r="A9" s="2" t="s">
        <v>18</v>
      </c>
      <c r="B9" s="7" t="n">
        <f aca="false">SUMIF('Sales Data'!F2:F101,"Sold",'Sales Data'!D2:D101)</f>
        <v>37570</v>
      </c>
    </row>
    <row r="10" customFormat="false" ht="15" hidden="false" customHeight="false" outlineLevel="0" collapsed="false">
      <c r="A10" s="2" t="s">
        <v>19</v>
      </c>
      <c r="B10" s="7" t="n">
        <f aca="false">B9-B8</f>
        <v>19730</v>
      </c>
    </row>
    <row r="11" customFormat="false" ht="15" hidden="false" customHeight="false" outlineLevel="0" collapsed="false">
      <c r="A11" s="2" t="s">
        <v>20</v>
      </c>
      <c r="B11" s="6" t="n">
        <f aca="false">B10/B8</f>
        <v>1.10594170403587</v>
      </c>
    </row>
    <row r="12" customFormat="false" ht="15" hidden="false" customHeight="false" outlineLevel="0" collapsed="false">
      <c r="A12" s="2" t="s">
        <v>21</v>
      </c>
      <c r="B12" s="7" t="n">
        <f aca="false">AVERAGE('Sales Data'!D2:D101)</f>
        <v>473.6</v>
      </c>
    </row>
    <row r="13" customFormat="false" ht="15" hidden="false" customHeight="false" outlineLevel="0" collapsed="false">
      <c r="A13" s="2" t="s">
        <v>22</v>
      </c>
      <c r="B13" s="8" t="n">
        <f aca="false">B8/B12</f>
        <v>37.6689189189189</v>
      </c>
    </row>
    <row r="14" customFormat="false" ht="15" hidden="false" customHeight="false" outlineLevel="0" collapsed="false">
      <c r="A14" s="2" t="s">
        <v>23</v>
      </c>
      <c r="B14" s="7" t="n">
        <f aca="false">SUMIF('Sales Data'!F2:F101,"Unsold",'Sales Data'!C2:C101)</f>
        <v>3450</v>
      </c>
    </row>
    <row r="16" customFormat="false" ht="15" hidden="false" customHeight="false" outlineLevel="0" collapsed="false">
      <c r="A16" s="9" t="s">
        <v>24</v>
      </c>
      <c r="B16" s="9"/>
      <c r="C16" s="9"/>
    </row>
  </sheetData>
  <mergeCells count="2">
    <mergeCell ref="A1:C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11</v>
      </c>
      <c r="B1" s="1" t="s">
        <v>7</v>
      </c>
      <c r="C1" s="1" t="s">
        <v>9</v>
      </c>
      <c r="D1" s="1" t="s">
        <v>25</v>
      </c>
    </row>
    <row r="2" customFormat="false" ht="15" hidden="false" customHeight="false" outlineLevel="0" collapsed="false">
      <c r="A2" s="10" t="s">
        <v>26</v>
      </c>
      <c r="B2" s="2" t="n">
        <f aca="false">COUNTIF('Sales Data'!$B$2:$B$101,$B$1)</f>
        <v>60</v>
      </c>
      <c r="C2" s="2" t="n">
        <f aca="false">COUNTIF('Sales Data'!$B$2:$B$101,$C$1)</f>
        <v>40</v>
      </c>
      <c r="D2" s="2" t="n">
        <f aca="false">B2+C2</f>
        <v>100</v>
      </c>
    </row>
    <row r="3" customFormat="false" ht="15" hidden="false" customHeight="false" outlineLevel="0" collapsed="false">
      <c r="A3" s="10" t="s">
        <v>27</v>
      </c>
      <c r="B3" s="2" t="n">
        <f aca="false">COUNTIFS('Sales Data'!$B$2:$B$101,$B$1,'Sales Data'!$F$2:$F$101,"Sold")</f>
        <v>48</v>
      </c>
      <c r="C3" s="2" t="n">
        <f aca="false">COUNTIFS('Sales Data'!$B$2:$B$101,$C$1,'Sales Data'!$F$2:$F$101,"Sold")</f>
        <v>32</v>
      </c>
      <c r="D3" s="2" t="n">
        <f aca="false">B3+C3</f>
        <v>80</v>
      </c>
    </row>
    <row r="4" customFormat="false" ht="15" hidden="false" customHeight="false" outlineLevel="0" collapsed="false">
      <c r="A4" s="10" t="s">
        <v>28</v>
      </c>
      <c r="B4" s="2" t="n">
        <f aca="false">COUNTIFS('Sales Data'!$B$2:$B$101,$B$1,'Sales Data'!$F$2:$F$101,"Unsold")</f>
        <v>12</v>
      </c>
      <c r="C4" s="2" t="n">
        <f aca="false">COUNTIFS('Sales Data'!$B$2:$B$101,$C$1,'Sales Data'!$F$2:$F$101,"Unsold")</f>
        <v>8</v>
      </c>
      <c r="D4" s="2" t="n">
        <f aca="false">B4+C4</f>
        <v>20</v>
      </c>
    </row>
    <row r="5" customFormat="false" ht="15" hidden="false" customHeight="false" outlineLevel="0" collapsed="false">
      <c r="A5" s="10" t="s">
        <v>2</v>
      </c>
      <c r="B5" s="7" t="n">
        <f aca="false">SUMIF('Sales Data'!$B$2:$B$101,$B$1,'Sales Data'!$C$2:$C$101)</f>
        <v>8980</v>
      </c>
      <c r="C5" s="7" t="n">
        <f aca="false">SUMIF('Sales Data'!$B$2:$B$101,$C$1,'Sales Data'!$C$2:$C$101)</f>
        <v>8860</v>
      </c>
      <c r="D5" s="7" t="n">
        <f aca="false">B5+C5</f>
        <v>17840</v>
      </c>
    </row>
    <row r="6" customFormat="false" ht="15" hidden="false" customHeight="false" outlineLevel="0" collapsed="false">
      <c r="A6" s="10" t="s">
        <v>29</v>
      </c>
      <c r="B6" s="7" t="n">
        <f aca="false">SUMIFS('Sales Data'!$D$2:$D$101,'Sales Data'!$B$2:$B$101,$B$1,'Sales Data'!$F$2:$F$101,"Sold")</f>
        <v>19080</v>
      </c>
      <c r="C6" s="7" t="n">
        <f aca="false">SUMIFS('Sales Data'!$D$2:$D$101,'Sales Data'!$B$2:$B$101,$C$1,'Sales Data'!$F$2:$F$101,"Sold")</f>
        <v>18490</v>
      </c>
      <c r="D6" s="7" t="n">
        <f aca="false">B6+C6</f>
        <v>37570</v>
      </c>
    </row>
    <row r="7" customFormat="false" ht="15" hidden="false" customHeight="false" outlineLevel="0" collapsed="false">
      <c r="A7" s="10" t="s">
        <v>30</v>
      </c>
      <c r="B7" s="7" t="n">
        <f aca="false">B6-B5</f>
        <v>10100</v>
      </c>
      <c r="C7" s="7" t="n">
        <f aca="false">C6-C5</f>
        <v>9630</v>
      </c>
      <c r="D7" s="7" t="n">
        <f aca="false">B7+C7</f>
        <v>19730</v>
      </c>
    </row>
    <row r="8" customFormat="false" ht="15" hidden="false" customHeight="false" outlineLevel="0" collapsed="false">
      <c r="A8" s="10" t="s">
        <v>31</v>
      </c>
      <c r="B8" s="7" t="n">
        <f aca="false">AVERAGEIF('Sales Data'!$B$2:$B$101,$B$1,'Sales Data'!$D$2:$D$101)</f>
        <v>398.166666666667</v>
      </c>
      <c r="C8" s="7" t="n">
        <f aca="false">AVERAGEIF('Sales Data'!$B$2:$B$101,$C$1,'Sales Data'!$D$2:$D$101)</f>
        <v>586.75</v>
      </c>
      <c r="D8" s="7" t="n">
        <f aca="false">Summary!B12</f>
        <v>473.6</v>
      </c>
    </row>
    <row r="9" customFormat="false" ht="15" hidden="false" customHeight="false" outlineLevel="0" collapsed="false">
      <c r="A9" s="10" t="s">
        <v>32</v>
      </c>
      <c r="B9" s="8" t="n">
        <f aca="false">B5/B8</f>
        <v>22.5533696107158</v>
      </c>
      <c r="C9" s="8" t="n">
        <f aca="false">C5/C8</f>
        <v>15.1001278227525</v>
      </c>
      <c r="D9" s="8" t="n">
        <f aca="false">Summary!B13</f>
        <v>37.6689189189189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2026-07-23T19:56:01Z</dcterms:created>
  <dc:creator>openpyxl</dc:creator>
  <dc:description/>
  <dc:language>en-US</dc:language>
  <cp:lastModifiedBy/>
  <dcterms:modified xsi:type="dcterms:W3CDTF">2026-07-23T19:56:01Z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